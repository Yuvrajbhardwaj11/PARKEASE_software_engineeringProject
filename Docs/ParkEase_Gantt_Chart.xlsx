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4063267-1995-465B-A3FA-E8DD62C7F8C0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Gantt Char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6" i="1" l="1"/>
  <c r="H26" i="1"/>
  <c r="F26" i="1"/>
  <c r="I26" i="1" s="1"/>
  <c r="J25" i="1"/>
  <c r="H25" i="1"/>
  <c r="F25" i="1"/>
  <c r="I25" i="1" s="1"/>
  <c r="J24" i="1"/>
  <c r="H24" i="1"/>
  <c r="F24" i="1"/>
  <c r="I24" i="1" s="1"/>
  <c r="J23" i="1"/>
  <c r="H23" i="1"/>
  <c r="F23" i="1"/>
  <c r="I23" i="1" s="1"/>
  <c r="J22" i="1"/>
  <c r="H22" i="1"/>
  <c r="F22" i="1"/>
  <c r="I22" i="1" s="1"/>
  <c r="J21" i="1"/>
  <c r="H21" i="1"/>
  <c r="F21" i="1"/>
  <c r="I21" i="1" s="1"/>
  <c r="J20" i="1"/>
  <c r="I20" i="1"/>
  <c r="H20" i="1"/>
  <c r="F20" i="1"/>
  <c r="J19" i="1"/>
  <c r="I19" i="1"/>
  <c r="H19" i="1"/>
  <c r="F19" i="1"/>
  <c r="J18" i="1"/>
  <c r="I18" i="1"/>
  <c r="H18" i="1"/>
  <c r="F18" i="1"/>
  <c r="J17" i="1"/>
  <c r="I17" i="1"/>
  <c r="H17" i="1"/>
  <c r="F17" i="1"/>
  <c r="J16" i="1"/>
  <c r="H16" i="1"/>
  <c r="F16" i="1"/>
  <c r="I16" i="1" s="1"/>
  <c r="J15" i="1"/>
  <c r="H15" i="1"/>
  <c r="F15" i="1"/>
  <c r="I15" i="1" s="1"/>
  <c r="J14" i="1"/>
  <c r="H14" i="1"/>
  <c r="F14" i="1"/>
  <c r="I14" i="1" s="1"/>
  <c r="J13" i="1"/>
  <c r="H13" i="1"/>
  <c r="F13" i="1"/>
  <c r="I13" i="1" s="1"/>
  <c r="J12" i="1"/>
  <c r="H12" i="1"/>
  <c r="F12" i="1"/>
  <c r="I12" i="1" s="1"/>
  <c r="J11" i="1"/>
  <c r="H11" i="1"/>
  <c r="F11" i="1"/>
  <c r="I11" i="1" s="1"/>
  <c r="J10" i="1"/>
  <c r="H10" i="1"/>
  <c r="F10" i="1"/>
  <c r="I10" i="1" s="1"/>
  <c r="J9" i="1"/>
  <c r="I9" i="1"/>
  <c r="H9" i="1"/>
  <c r="F9" i="1"/>
  <c r="J8" i="1"/>
  <c r="H8" i="1"/>
  <c r="F8" i="1"/>
  <c r="I8" i="1" s="1"/>
  <c r="J7" i="1"/>
  <c r="H7" i="1"/>
  <c r="F7" i="1"/>
  <c r="I7" i="1" s="1"/>
  <c r="J6" i="1"/>
  <c r="H6" i="1"/>
  <c r="F6" i="1"/>
  <c r="I6" i="1" s="1"/>
</calcChain>
</file>

<file path=xl/sharedStrings.xml><?xml version="1.0" encoding="utf-8"?>
<sst xmlns="http://schemas.openxmlformats.org/spreadsheetml/2006/main" count="58" uniqueCount="37">
  <si>
    <t>ParkEase – Work Contribution Timeline (Gantt Chart)</t>
  </si>
  <si>
    <t>Project Start:</t>
  </si>
  <si>
    <t>Project End:</t>
  </si>
  <si>
    <t>Team:</t>
  </si>
  <si>
    <t>Yuvraj</t>
  </si>
  <si>
    <t>Tanishk</t>
  </si>
  <si>
    <t>Soham</t>
  </si>
  <si>
    <t>No.</t>
  </si>
  <si>
    <t>Task</t>
  </si>
  <si>
    <t>Assigned To</t>
  </si>
  <si>
    <t>Start</t>
  </si>
  <si>
    <t>End</t>
  </si>
  <si>
    <t>Duration (days)</t>
  </si>
  <si>
    <t>Start Offset</t>
  </si>
  <si>
    <t>Duration</t>
  </si>
  <si>
    <t>Label</t>
  </si>
  <si>
    <t>Project conceptualization, planning &amp; proposal (PPT)</t>
  </si>
  <si>
    <t>Contributed to proposal – objectives &amp; scope</t>
  </si>
  <si>
    <t>Prepared project proposal in LaTeX</t>
  </si>
  <si>
    <t>Backend setup – Node.js, MongoDB, Auth APIs</t>
  </si>
  <si>
    <t>Frontend development – UI, layout, navigation</t>
  </si>
  <si>
    <t>Backend development start – Node.js &amp; MongoDB</t>
  </si>
  <si>
    <t>Parking slot, reservation &amp; payment backend</t>
  </si>
  <si>
    <t>Data Flow Diagram (DFD) using Draw.io</t>
  </si>
  <si>
    <t>Backend APIs – auth, slots, reservations, payments</t>
  </si>
  <si>
    <t>Admin functionalities &amp; API testing (Postman)</t>
  </si>
  <si>
    <t>ER Diagram &amp; Swimlane Diagram (Draw.io)</t>
  </si>
  <si>
    <t>API testing (Postman) &amp; Use Case Diagram update</t>
  </si>
  <si>
    <t>Use Case Diagram &amp; DFD creation</t>
  </si>
  <si>
    <t>Frontend prototype refinement</t>
  </si>
  <si>
    <t>DFD development</t>
  </si>
  <si>
    <t>Backend integration into prototype; PPT update</t>
  </si>
  <si>
    <t>Diagram visuals for documentation/PPT</t>
  </si>
  <si>
    <t>DFD &amp; Use Case Diagram review/refinement</t>
  </si>
  <si>
    <t>Prototype deployed on Vercel; final verification</t>
  </si>
  <si>
    <t>Final review of frontend, diagrams &amp; docs</t>
  </si>
  <si>
    <t>Final verification of backend &amp; diagrams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</si>
</sst>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dd\-mmm"/>
  </numFmts>
  <fonts count="5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E74B5"/>
        <bgColor rgb="FF0066CC"/>
      </patternFill>
    </fill>
    <fill>
      <patternFill patternType="solid">
        <fgColor rgb="FF2E8B57"/>
        <bgColor rgb="FF008080"/>
      </patternFill>
    </fill>
    <fill>
      <patternFill patternType="solid">
        <fgColor rgb="FFE07B2B"/>
        <bgColor rgb="FFFF99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 vertical="center" wrapText="1"/>
    </xf>
    <xf numFmtId="0" fontId="3" fillId="6" borderId="1" xfId="0" applyFont="1" applyFill="1" applyBorder="1"/>
    <xf numFmtId="0" fontId="4" fillId="2" borderId="1" xfId="0" applyFont="1" applyFill="1" applyBorder="1" applyAlignment="1">
      <alignment horizontal="center"/>
    </xf>
    <xf numFmtId="165" fontId="3" fillId="6" borderId="1" xfId="0" applyNumberFormat="1" applyFont="1" applyFill="1" applyBorder="1"/>
    <xf numFmtId="0" fontId="3" fillId="0" borderId="1" xfId="0" applyFont="1" applyBorder="1"/>
    <xf numFmtId="0" fontId="4" fillId="3" borderId="1" xfId="0" applyFont="1" applyFill="1" applyBorder="1" applyAlignment="1">
      <alignment horizontal="center"/>
    </xf>
    <xf numFmtId="165" fontId="3" fillId="0" borderId="1" xfId="0" applyNumberFormat="1" applyFont="1" applyBorder="1"/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E07B2B"/>
      <rgbColor rgb="FF666699"/>
      <rgbColor rgb="FF969696"/>
      <rgbColor rgb="FF1F3864"/>
      <rgbColor rgb="FF2E8B5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ParkEase Development Timeline (Date-wise, by Team Member)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'Gantt Chart'!$H$5</c:f>
              <c:strCache>
                <c:ptCount val="1"/>
                <c:pt idx="0">
                  <c:v>Start Offset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'Gantt Chart'!$J$6:$J$26</c:f>
              <c:strCache>
                <c:ptCount val="21"/>
                <c:pt idx="0">
                  <c:v>Yuvraj: Project conceptualization, planning &amp; proposal (PPT)</c:v>
                </c:pt>
                <c:pt idx="1">
                  <c:v>Tanishk: Contributed to proposal – objectives &amp; scope</c:v>
                </c:pt>
                <c:pt idx="2">
                  <c:v>Soham: Prepared project proposal in LaTeX</c:v>
                </c:pt>
                <c:pt idx="3">
                  <c:v>Yuvraj: Backend setup – Node.js, MongoDB, Auth APIs</c:v>
                </c:pt>
                <c:pt idx="4">
                  <c:v>Tanishk: Frontend development – UI, layout, navigation</c:v>
                </c:pt>
                <c:pt idx="5">
                  <c:v>Soham: Backend development start – Node.js &amp; MongoDB</c:v>
                </c:pt>
                <c:pt idx="6">
                  <c:v>Yuvraj: Parking slot, reservation &amp; payment backend</c:v>
                </c:pt>
                <c:pt idx="7">
                  <c:v>Tanishk: Data Flow Diagram (DFD) using Draw.io</c:v>
                </c:pt>
                <c:pt idx="8">
                  <c:v>Soham: Backend APIs – auth, slots, reservations, payments</c:v>
                </c:pt>
                <c:pt idx="9">
                  <c:v>Yuvraj: Admin functionalities &amp; API testing (Postman)</c:v>
                </c:pt>
                <c:pt idx="10">
                  <c:v>Tanishk: ER Diagram &amp; Swimlane Diagram (Draw.io)</c:v>
                </c:pt>
                <c:pt idx="11">
                  <c:v>Soham: API testing (Postman) &amp; Use Case Diagram update</c:v>
                </c:pt>
                <c:pt idx="12">
                  <c:v>Yuvraj: Use Case Diagram &amp; DFD creation</c:v>
                </c:pt>
                <c:pt idx="13">
                  <c:v>Tanishk: Frontend prototype refinement</c:v>
                </c:pt>
                <c:pt idx="14">
                  <c:v>Soham: DFD development</c:v>
                </c:pt>
                <c:pt idx="15">
                  <c:v>Yuvraj: Backend integration into prototype; PPT update</c:v>
                </c:pt>
                <c:pt idx="16">
                  <c:v>Tanishk: Diagram visuals for documentation/PPT</c:v>
                </c:pt>
                <c:pt idx="17">
                  <c:v>Soham: DFD &amp; Use Case Diagram review/refinement</c:v>
                </c:pt>
                <c:pt idx="18">
                  <c:v>Yuvraj: Prototype deployed on Vercel; final verification</c:v>
                </c:pt>
                <c:pt idx="19">
                  <c:v>Tanishk: Final review of frontend, diagrams &amp; docs</c:v>
                </c:pt>
                <c:pt idx="20">
                  <c:v>Soham: Final verification of backend &amp; diagrams</c:v>
                </c:pt>
              </c:strCache>
            </c:strRef>
          </c:cat>
          <c:val>
            <c:numRef>
              <c:f>'Gantt Chart'!$H$6:$H$26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34</c:v>
                </c:pt>
                <c:pt idx="19">
                  <c:v>34</c:v>
                </c:pt>
                <c:pt idx="2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C-4564-8FF6-3584B3993366}"/>
            </c:ext>
          </c:extLst>
        </c:ser>
        <c:ser>
          <c:idx val="1"/>
          <c:order val="1"/>
          <c:tx>
            <c:strRef>
              <c:f>'Gantt Chart'!$I$5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rgbClr val="2E74B5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E74B5"/>
              </a:solidFill>
              <a:ln w="0">
                <a:solidFill>
                  <a:srgbClr val="2E74B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1E9C-4564-8FF6-3584B3993366}"/>
              </c:ext>
            </c:extLst>
          </c:dPt>
          <c:dPt>
            <c:idx val="1"/>
            <c:invertIfNegative val="0"/>
            <c:bubble3D val="0"/>
            <c:spPr>
              <a:solidFill>
                <a:srgbClr val="2E8B57"/>
              </a:solidFill>
              <a:ln w="0">
                <a:solidFill>
                  <a:srgbClr val="2E8B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1E9C-4564-8FF6-3584B3993366}"/>
              </c:ext>
            </c:extLst>
          </c:dPt>
          <c:dPt>
            <c:idx val="2"/>
            <c:invertIfNegative val="0"/>
            <c:bubble3D val="0"/>
            <c:spPr>
              <a:solidFill>
                <a:srgbClr val="E07B2B"/>
              </a:solidFill>
              <a:ln w="0">
                <a:solidFill>
                  <a:srgbClr val="E07B2B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1E9C-4564-8FF6-3584B3993366}"/>
              </c:ext>
            </c:extLst>
          </c:dPt>
          <c:dPt>
            <c:idx val="3"/>
            <c:invertIfNegative val="0"/>
            <c:bubble3D val="0"/>
            <c:spPr>
              <a:solidFill>
                <a:srgbClr val="2E74B5"/>
              </a:solidFill>
              <a:ln w="0">
                <a:solidFill>
                  <a:srgbClr val="2E74B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1E9C-4564-8FF6-3584B3993366}"/>
              </c:ext>
            </c:extLst>
          </c:dPt>
          <c:dPt>
            <c:idx val="4"/>
            <c:invertIfNegative val="0"/>
            <c:bubble3D val="0"/>
            <c:spPr>
              <a:solidFill>
                <a:srgbClr val="2E8B57"/>
              </a:solidFill>
              <a:ln w="0">
                <a:solidFill>
                  <a:srgbClr val="2E8B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1E9C-4564-8FF6-3584B3993366}"/>
              </c:ext>
            </c:extLst>
          </c:dPt>
          <c:dPt>
            <c:idx val="5"/>
            <c:invertIfNegative val="0"/>
            <c:bubble3D val="0"/>
            <c:spPr>
              <a:solidFill>
                <a:srgbClr val="E07B2B"/>
              </a:solidFill>
              <a:ln w="0">
                <a:solidFill>
                  <a:srgbClr val="E07B2B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1E9C-4564-8FF6-3584B3993366}"/>
              </c:ext>
            </c:extLst>
          </c:dPt>
          <c:dPt>
            <c:idx val="6"/>
            <c:invertIfNegative val="0"/>
            <c:bubble3D val="0"/>
            <c:spPr>
              <a:solidFill>
                <a:srgbClr val="2E74B5"/>
              </a:solidFill>
              <a:ln w="0">
                <a:solidFill>
                  <a:srgbClr val="2E74B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1E9C-4564-8FF6-3584B3993366}"/>
              </c:ext>
            </c:extLst>
          </c:dPt>
          <c:dPt>
            <c:idx val="7"/>
            <c:invertIfNegative val="0"/>
            <c:bubble3D val="0"/>
            <c:spPr>
              <a:solidFill>
                <a:srgbClr val="2E8B57"/>
              </a:solidFill>
              <a:ln w="0">
                <a:solidFill>
                  <a:srgbClr val="2E8B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1E9C-4564-8FF6-3584B3993366}"/>
              </c:ext>
            </c:extLst>
          </c:dPt>
          <c:dPt>
            <c:idx val="8"/>
            <c:invertIfNegative val="0"/>
            <c:bubble3D val="0"/>
            <c:spPr>
              <a:solidFill>
                <a:srgbClr val="E07B2B"/>
              </a:solidFill>
              <a:ln w="0">
                <a:solidFill>
                  <a:srgbClr val="E07B2B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1E9C-4564-8FF6-3584B3993366}"/>
              </c:ext>
            </c:extLst>
          </c:dPt>
          <c:dPt>
            <c:idx val="9"/>
            <c:invertIfNegative val="0"/>
            <c:bubble3D val="0"/>
            <c:spPr>
              <a:solidFill>
                <a:srgbClr val="2E74B5"/>
              </a:solidFill>
              <a:ln w="0">
                <a:solidFill>
                  <a:srgbClr val="2E74B5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1E9C-4564-8FF6-3584B3993366}"/>
              </c:ext>
            </c:extLst>
          </c:dPt>
          <c:dPt>
            <c:idx val="10"/>
            <c:invertIfNegative val="0"/>
            <c:bubble3D val="0"/>
            <c:spPr>
              <a:solidFill>
                <a:srgbClr val="2E8B57"/>
              </a:solidFill>
              <a:ln w="0">
                <a:solidFill>
                  <a:srgbClr val="2E8B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1E9C-4564-8FF6-3584B3993366}"/>
              </c:ext>
            </c:extLst>
          </c:dPt>
          <c:dPt>
            <c:idx val="11"/>
            <c:invertIfNegative val="0"/>
            <c:bubble3D val="0"/>
            <c:spPr>
              <a:solidFill>
                <a:srgbClr val="E07B2B"/>
              </a:solidFill>
              <a:ln w="0">
                <a:solidFill>
                  <a:srgbClr val="E07B2B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1E9C-4564-8FF6-3584B3993366}"/>
              </c:ext>
            </c:extLst>
          </c:dPt>
          <c:dPt>
            <c:idx val="12"/>
            <c:invertIfNegative val="0"/>
            <c:bubble3D val="0"/>
            <c:spPr>
              <a:solidFill>
                <a:srgbClr val="2E74B5"/>
              </a:solidFill>
              <a:ln w="0">
                <a:solidFill>
                  <a:srgbClr val="2E74B5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1E9C-4564-8FF6-3584B3993366}"/>
              </c:ext>
            </c:extLst>
          </c:dPt>
          <c:dPt>
            <c:idx val="13"/>
            <c:invertIfNegative val="0"/>
            <c:bubble3D val="0"/>
            <c:spPr>
              <a:solidFill>
                <a:srgbClr val="2E8B57"/>
              </a:solidFill>
              <a:ln w="0">
                <a:solidFill>
                  <a:srgbClr val="2E8B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1E9C-4564-8FF6-3584B3993366}"/>
              </c:ext>
            </c:extLst>
          </c:dPt>
          <c:dPt>
            <c:idx val="14"/>
            <c:invertIfNegative val="0"/>
            <c:bubble3D val="0"/>
            <c:spPr>
              <a:solidFill>
                <a:srgbClr val="E07B2B"/>
              </a:solidFill>
              <a:ln w="0">
                <a:solidFill>
                  <a:srgbClr val="E07B2B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1E9C-4564-8FF6-3584B3993366}"/>
              </c:ext>
            </c:extLst>
          </c:dPt>
          <c:dPt>
            <c:idx val="15"/>
            <c:invertIfNegative val="0"/>
            <c:bubble3D val="0"/>
            <c:spPr>
              <a:solidFill>
                <a:srgbClr val="2E74B5"/>
              </a:solidFill>
              <a:ln w="0">
                <a:solidFill>
                  <a:srgbClr val="2E74B5"/>
                </a:solidFill>
              </a:ln>
            </c:spPr>
            <c:extLst>
              <c:ext xmlns:c16="http://schemas.microsoft.com/office/drawing/2014/chart" uri="{C3380CC4-5D6E-409C-BE32-E72D297353CC}">
                <c16:uniqueId val="{00000020-1E9C-4564-8FF6-3584B3993366}"/>
              </c:ext>
            </c:extLst>
          </c:dPt>
          <c:dPt>
            <c:idx val="16"/>
            <c:invertIfNegative val="0"/>
            <c:bubble3D val="0"/>
            <c:spPr>
              <a:solidFill>
                <a:srgbClr val="2E8B57"/>
              </a:solidFill>
              <a:ln w="0">
                <a:solidFill>
                  <a:srgbClr val="2E8B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2-1E9C-4564-8FF6-3584B3993366}"/>
              </c:ext>
            </c:extLst>
          </c:dPt>
          <c:dPt>
            <c:idx val="17"/>
            <c:invertIfNegative val="0"/>
            <c:bubble3D val="0"/>
            <c:spPr>
              <a:solidFill>
                <a:srgbClr val="E07B2B"/>
              </a:solidFill>
              <a:ln w="0">
                <a:solidFill>
                  <a:srgbClr val="E07B2B"/>
                </a:solidFill>
              </a:ln>
            </c:spPr>
            <c:extLst>
              <c:ext xmlns:c16="http://schemas.microsoft.com/office/drawing/2014/chart" uri="{C3380CC4-5D6E-409C-BE32-E72D297353CC}">
                <c16:uniqueId val="{00000024-1E9C-4564-8FF6-3584B3993366}"/>
              </c:ext>
            </c:extLst>
          </c:dPt>
          <c:dPt>
            <c:idx val="18"/>
            <c:invertIfNegative val="0"/>
            <c:bubble3D val="0"/>
            <c:spPr>
              <a:solidFill>
                <a:srgbClr val="2E74B5"/>
              </a:solidFill>
              <a:ln w="0">
                <a:solidFill>
                  <a:srgbClr val="2E74B5"/>
                </a:solidFill>
              </a:ln>
            </c:spPr>
            <c:extLst>
              <c:ext xmlns:c16="http://schemas.microsoft.com/office/drawing/2014/chart" uri="{C3380CC4-5D6E-409C-BE32-E72D297353CC}">
                <c16:uniqueId val="{00000026-1E9C-4564-8FF6-3584B3993366}"/>
              </c:ext>
            </c:extLst>
          </c:dPt>
          <c:dPt>
            <c:idx val="19"/>
            <c:invertIfNegative val="0"/>
            <c:bubble3D val="0"/>
            <c:spPr>
              <a:solidFill>
                <a:srgbClr val="2E8B57"/>
              </a:solidFill>
              <a:ln w="0">
                <a:solidFill>
                  <a:srgbClr val="2E8B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8-1E9C-4564-8FF6-3584B3993366}"/>
              </c:ext>
            </c:extLst>
          </c:dPt>
          <c:dPt>
            <c:idx val="20"/>
            <c:invertIfNegative val="0"/>
            <c:bubble3D val="0"/>
            <c:spPr>
              <a:solidFill>
                <a:srgbClr val="E07B2B"/>
              </a:solidFill>
              <a:ln w="0">
                <a:solidFill>
                  <a:srgbClr val="E07B2B"/>
                </a:solidFill>
              </a:ln>
            </c:spPr>
            <c:extLst>
              <c:ext xmlns:c16="http://schemas.microsoft.com/office/drawing/2014/chart" uri="{C3380CC4-5D6E-409C-BE32-E72D297353CC}">
                <c16:uniqueId val="{0000002A-1E9C-4564-8FF6-3584B3993366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2-1E9C-4564-8FF6-3584B3993366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4-1E9C-4564-8FF6-3584B3993366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6-1E9C-4564-8FF6-3584B3993366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1E9C-4564-8FF6-3584B3993366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1E9C-4564-8FF6-3584B3993366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1E9C-4564-8FF6-3584B3993366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1E9C-4564-8FF6-3584B3993366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0-1E9C-4564-8FF6-3584B3993366}"/>
                </c:ext>
              </c:extLst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2-1E9C-4564-8FF6-3584B3993366}"/>
                </c:ext>
              </c:extLst>
            </c:dLbl>
            <c:dLbl>
              <c:idx val="9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4-1E9C-4564-8FF6-3584B3993366}"/>
                </c:ext>
              </c:extLst>
            </c:dLbl>
            <c:dLbl>
              <c:idx val="1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6-1E9C-4564-8FF6-3584B3993366}"/>
                </c:ext>
              </c:extLst>
            </c:dLbl>
            <c:dLbl>
              <c:idx val="1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8-1E9C-4564-8FF6-3584B3993366}"/>
                </c:ext>
              </c:extLst>
            </c:dLbl>
            <c:dLbl>
              <c:idx val="1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A-1E9C-4564-8FF6-3584B3993366}"/>
                </c:ext>
              </c:extLst>
            </c:dLbl>
            <c:dLbl>
              <c:idx val="1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C-1E9C-4564-8FF6-3584B3993366}"/>
                </c:ext>
              </c:extLst>
            </c:dLbl>
            <c:dLbl>
              <c:idx val="1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E-1E9C-4564-8FF6-3584B3993366}"/>
                </c:ext>
              </c:extLst>
            </c:dLbl>
            <c:dLbl>
              <c:idx val="1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0-1E9C-4564-8FF6-3584B3993366}"/>
                </c:ext>
              </c:extLst>
            </c:dLbl>
            <c:dLbl>
              <c:idx val="1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2-1E9C-4564-8FF6-3584B3993366}"/>
                </c:ext>
              </c:extLst>
            </c:dLbl>
            <c:dLbl>
              <c:idx val="1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4-1E9C-4564-8FF6-3584B3993366}"/>
                </c:ext>
              </c:extLst>
            </c:dLbl>
            <c:dLbl>
              <c:idx val="18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6-1E9C-4564-8FF6-3584B3993366}"/>
                </c:ext>
              </c:extLst>
            </c:dLbl>
            <c:dLbl>
              <c:idx val="19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8-1E9C-4564-8FF6-3584B3993366}"/>
                </c:ext>
              </c:extLst>
            </c:dLbl>
            <c:dLbl>
              <c:idx val="2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A-1E9C-4564-8FF6-3584B39933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'Gantt Chart'!$J$6:$J$26</c:f>
              <c:strCache>
                <c:ptCount val="21"/>
                <c:pt idx="0">
                  <c:v>Yuvraj: Project conceptualization, planning &amp; proposal (PPT)</c:v>
                </c:pt>
                <c:pt idx="1">
                  <c:v>Tanishk: Contributed to proposal – objectives &amp; scope</c:v>
                </c:pt>
                <c:pt idx="2">
                  <c:v>Soham: Prepared project proposal in LaTeX</c:v>
                </c:pt>
                <c:pt idx="3">
                  <c:v>Yuvraj: Backend setup – Node.js, MongoDB, Auth APIs</c:v>
                </c:pt>
                <c:pt idx="4">
                  <c:v>Tanishk: Frontend development – UI, layout, navigation</c:v>
                </c:pt>
                <c:pt idx="5">
                  <c:v>Soham: Backend development start – Node.js &amp; MongoDB</c:v>
                </c:pt>
                <c:pt idx="6">
                  <c:v>Yuvraj: Parking slot, reservation &amp; payment backend</c:v>
                </c:pt>
                <c:pt idx="7">
                  <c:v>Tanishk: Data Flow Diagram (DFD) using Draw.io</c:v>
                </c:pt>
                <c:pt idx="8">
                  <c:v>Soham: Backend APIs – auth, slots, reservations, payments</c:v>
                </c:pt>
                <c:pt idx="9">
                  <c:v>Yuvraj: Admin functionalities &amp; API testing (Postman)</c:v>
                </c:pt>
                <c:pt idx="10">
                  <c:v>Tanishk: ER Diagram &amp; Swimlane Diagram (Draw.io)</c:v>
                </c:pt>
                <c:pt idx="11">
                  <c:v>Soham: API testing (Postman) &amp; Use Case Diagram update</c:v>
                </c:pt>
                <c:pt idx="12">
                  <c:v>Yuvraj: Use Case Diagram &amp; DFD creation</c:v>
                </c:pt>
                <c:pt idx="13">
                  <c:v>Tanishk: Frontend prototype refinement</c:v>
                </c:pt>
                <c:pt idx="14">
                  <c:v>Soham: DFD development</c:v>
                </c:pt>
                <c:pt idx="15">
                  <c:v>Yuvraj: Backend integration into prototype; PPT update</c:v>
                </c:pt>
                <c:pt idx="16">
                  <c:v>Tanishk: Diagram visuals for documentation/PPT</c:v>
                </c:pt>
                <c:pt idx="17">
                  <c:v>Soham: DFD &amp; Use Case Diagram review/refinement</c:v>
                </c:pt>
                <c:pt idx="18">
                  <c:v>Yuvraj: Prototype deployed on Vercel; final verification</c:v>
                </c:pt>
                <c:pt idx="19">
                  <c:v>Tanishk: Final review of frontend, diagrams &amp; docs</c:v>
                </c:pt>
                <c:pt idx="20">
                  <c:v>Soham: Final verification of backend &amp; diagrams</c:v>
                </c:pt>
              </c:strCache>
            </c:strRef>
          </c:cat>
          <c:val>
            <c:numRef>
              <c:f>'Gantt Chart'!$I$6:$I$26</c:f>
              <c:numCache>
                <c:formatCode>General</c:formatCode>
                <c:ptCount val="2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1E9C-4564-8FF6-3584B3993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81434218"/>
        <c:axId val="16985274"/>
      </c:barChart>
      <c:catAx>
        <c:axId val="8143421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985274"/>
        <c:crosses val="autoZero"/>
        <c:auto val="1"/>
        <c:lblAlgn val="ctr"/>
        <c:lblOffset val="100"/>
        <c:noMultiLvlLbl val="0"/>
      </c:catAx>
      <c:valAx>
        <c:axId val="1698527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4342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190440</xdr:rowOff>
    </xdr:from>
    <xdr:to>
      <xdr:col>28</xdr:col>
      <xdr:colOff>403920</xdr:colOff>
      <xdr:row>30</xdr:row>
      <xdr:rowOff>24840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zoomScale="47" zoomScaleNormal="100" workbookViewId="0">
      <selection activeCell="E30" sqref="E30"/>
    </sheetView>
  </sheetViews>
  <sheetFormatPr defaultColWidth="8.6328125" defaultRowHeight="14.5" x14ac:dyDescent="0.35"/>
  <cols>
    <col min="1" max="1" width="5" customWidth="1"/>
    <col min="2" max="2" width="48" customWidth="1"/>
    <col min="3" max="3" width="12" customWidth="1"/>
    <col min="4" max="5" width="11" customWidth="1"/>
    <col min="6" max="6" width="14" customWidth="1"/>
    <col min="7" max="7" width="3" customWidth="1"/>
    <col min="8" max="8" width="12" customWidth="1"/>
    <col min="9" max="9" width="10" customWidth="1"/>
    <col min="10" max="10" width="55" customWidth="1"/>
  </cols>
  <sheetData>
    <row r="1" spans="1:10" ht="20" x14ac:dyDescent="0.4">
      <c r="A1" s="1" t="s">
        <v>0</v>
      </c>
      <c r="B1" s="1"/>
      <c r="C1" s="1"/>
      <c r="D1" s="1"/>
      <c r="E1" s="1"/>
      <c r="F1" s="1"/>
    </row>
    <row r="2" spans="1:10" x14ac:dyDescent="0.35">
      <c r="A2" s="2" t="s">
        <v>1</v>
      </c>
      <c r="B2" s="3">
        <v>46238</v>
      </c>
      <c r="D2" s="2" t="s">
        <v>2</v>
      </c>
      <c r="E2" s="3">
        <v>46273</v>
      </c>
    </row>
    <row r="3" spans="1:10" x14ac:dyDescent="0.35">
      <c r="A3" s="2" t="s">
        <v>3</v>
      </c>
      <c r="B3" s="4" t="s">
        <v>4</v>
      </c>
      <c r="C3" s="5" t="s">
        <v>5</v>
      </c>
      <c r="D3" s="6" t="s">
        <v>6</v>
      </c>
    </row>
    <row r="5" spans="1:10" ht="28" x14ac:dyDescent="0.35">
      <c r="A5" s="7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H5" s="2" t="s">
        <v>13</v>
      </c>
      <c r="I5" s="2" t="s">
        <v>14</v>
      </c>
      <c r="J5" s="2" t="s">
        <v>15</v>
      </c>
    </row>
    <row r="6" spans="1:10" x14ac:dyDescent="0.35">
      <c r="A6" s="8">
        <v>1</v>
      </c>
      <c r="B6" s="8" t="s">
        <v>16</v>
      </c>
      <c r="C6" s="9" t="s">
        <v>4</v>
      </c>
      <c r="D6" s="10">
        <v>46238</v>
      </c>
      <c r="E6" s="10">
        <v>46242</v>
      </c>
      <c r="F6" s="8">
        <f t="shared" ref="F6:F26" si="0">E6-D6+1</f>
        <v>5</v>
      </c>
      <c r="H6">
        <f t="shared" ref="H6:H26" si="1">D6-$B$2</f>
        <v>0</v>
      </c>
      <c r="I6">
        <f t="shared" ref="I6:I26" si="2">F6</f>
        <v>5</v>
      </c>
      <c r="J6" t="str">
        <f t="shared" ref="J6:J26" si="3">C6&amp;": "&amp;B6</f>
        <v>Yuvraj: Project conceptualization, planning &amp; proposal (PPT)</v>
      </c>
    </row>
    <row r="7" spans="1:10" x14ac:dyDescent="0.35">
      <c r="A7" s="11">
        <v>2</v>
      </c>
      <c r="B7" s="11" t="s">
        <v>17</v>
      </c>
      <c r="C7" s="12" t="s">
        <v>5</v>
      </c>
      <c r="D7" s="13">
        <v>46238</v>
      </c>
      <c r="E7" s="13">
        <v>46242</v>
      </c>
      <c r="F7" s="11">
        <f t="shared" si="0"/>
        <v>5</v>
      </c>
      <c r="H7">
        <f t="shared" si="1"/>
        <v>0</v>
      </c>
      <c r="I7">
        <f t="shared" si="2"/>
        <v>5</v>
      </c>
      <c r="J7" t="str">
        <f t="shared" si="3"/>
        <v>Tanishk: Contributed to proposal – objectives &amp; scope</v>
      </c>
    </row>
    <row r="8" spans="1:10" x14ac:dyDescent="0.35">
      <c r="A8" s="8">
        <v>3</v>
      </c>
      <c r="B8" s="8" t="s">
        <v>18</v>
      </c>
      <c r="C8" s="14" t="s">
        <v>6</v>
      </c>
      <c r="D8" s="10">
        <v>46238</v>
      </c>
      <c r="E8" s="10">
        <v>46242</v>
      </c>
      <c r="F8" s="8">
        <f t="shared" si="0"/>
        <v>5</v>
      </c>
      <c r="H8">
        <f t="shared" si="1"/>
        <v>0</v>
      </c>
      <c r="I8">
        <f t="shared" si="2"/>
        <v>5</v>
      </c>
      <c r="J8" t="str">
        <f t="shared" si="3"/>
        <v>Soham: Prepared project proposal in LaTeX</v>
      </c>
    </row>
    <row r="9" spans="1:10" x14ac:dyDescent="0.35">
      <c r="A9" s="11">
        <v>4</v>
      </c>
      <c r="B9" s="11" t="s">
        <v>19</v>
      </c>
      <c r="C9" s="9" t="s">
        <v>4</v>
      </c>
      <c r="D9" s="13">
        <v>46245</v>
      </c>
      <c r="E9" s="13">
        <v>46249</v>
      </c>
      <c r="F9" s="11">
        <f t="shared" si="0"/>
        <v>5</v>
      </c>
      <c r="H9">
        <f t="shared" si="1"/>
        <v>7</v>
      </c>
      <c r="I9">
        <f t="shared" si="2"/>
        <v>5</v>
      </c>
      <c r="J9" t="str">
        <f t="shared" si="3"/>
        <v>Yuvraj: Backend setup – Node.js, MongoDB, Auth APIs</v>
      </c>
    </row>
    <row r="10" spans="1:10" x14ac:dyDescent="0.35">
      <c r="A10" s="8">
        <v>5</v>
      </c>
      <c r="B10" s="8" t="s">
        <v>20</v>
      </c>
      <c r="C10" s="12" t="s">
        <v>5</v>
      </c>
      <c r="D10" s="10">
        <v>46245</v>
      </c>
      <c r="E10" s="10">
        <v>46249</v>
      </c>
      <c r="F10" s="8">
        <f t="shared" si="0"/>
        <v>5</v>
      </c>
      <c r="H10">
        <f t="shared" si="1"/>
        <v>7</v>
      </c>
      <c r="I10">
        <f t="shared" si="2"/>
        <v>5</v>
      </c>
      <c r="J10" t="str">
        <f t="shared" si="3"/>
        <v>Tanishk: Frontend development – UI, layout, navigation</v>
      </c>
    </row>
    <row r="11" spans="1:10" x14ac:dyDescent="0.35">
      <c r="A11" s="11">
        <v>6</v>
      </c>
      <c r="B11" s="11" t="s">
        <v>21</v>
      </c>
      <c r="C11" s="14" t="s">
        <v>6</v>
      </c>
      <c r="D11" s="13">
        <v>46245</v>
      </c>
      <c r="E11" s="13">
        <v>46249</v>
      </c>
      <c r="F11" s="11">
        <f t="shared" si="0"/>
        <v>5</v>
      </c>
      <c r="H11">
        <f t="shared" si="1"/>
        <v>7</v>
      </c>
      <c r="I11">
        <f t="shared" si="2"/>
        <v>5</v>
      </c>
      <c r="J11" t="str">
        <f t="shared" si="3"/>
        <v>Soham: Backend development start – Node.js &amp; MongoDB</v>
      </c>
    </row>
    <row r="12" spans="1:10" x14ac:dyDescent="0.35">
      <c r="A12" s="8">
        <v>7</v>
      </c>
      <c r="B12" s="8" t="s">
        <v>22</v>
      </c>
      <c r="C12" s="9" t="s">
        <v>4</v>
      </c>
      <c r="D12" s="10">
        <v>46252</v>
      </c>
      <c r="E12" s="10">
        <v>46256</v>
      </c>
      <c r="F12" s="8">
        <f t="shared" si="0"/>
        <v>5</v>
      </c>
      <c r="H12">
        <f t="shared" si="1"/>
        <v>14</v>
      </c>
      <c r="I12">
        <f t="shared" si="2"/>
        <v>5</v>
      </c>
      <c r="J12" t="str">
        <f t="shared" si="3"/>
        <v>Yuvraj: Parking slot, reservation &amp; payment backend</v>
      </c>
    </row>
    <row r="13" spans="1:10" x14ac:dyDescent="0.35">
      <c r="A13" s="11">
        <v>8</v>
      </c>
      <c r="B13" s="11" t="s">
        <v>23</v>
      </c>
      <c r="C13" s="12" t="s">
        <v>5</v>
      </c>
      <c r="D13" s="13">
        <v>46252</v>
      </c>
      <c r="E13" s="13">
        <v>46256</v>
      </c>
      <c r="F13" s="11">
        <f t="shared" si="0"/>
        <v>5</v>
      </c>
      <c r="H13">
        <f t="shared" si="1"/>
        <v>14</v>
      </c>
      <c r="I13">
        <f t="shared" si="2"/>
        <v>5</v>
      </c>
      <c r="J13" t="str">
        <f t="shared" si="3"/>
        <v>Tanishk: Data Flow Diagram (DFD) using Draw.io</v>
      </c>
    </row>
    <row r="14" spans="1:10" x14ac:dyDescent="0.35">
      <c r="A14" s="8">
        <v>9</v>
      </c>
      <c r="B14" s="8" t="s">
        <v>24</v>
      </c>
      <c r="C14" s="14" t="s">
        <v>6</v>
      </c>
      <c r="D14" s="10">
        <v>46252</v>
      </c>
      <c r="E14" s="10">
        <v>46256</v>
      </c>
      <c r="F14" s="8">
        <f t="shared" si="0"/>
        <v>5</v>
      </c>
      <c r="H14">
        <f t="shared" si="1"/>
        <v>14</v>
      </c>
      <c r="I14">
        <f t="shared" si="2"/>
        <v>5</v>
      </c>
      <c r="J14" t="str">
        <f t="shared" si="3"/>
        <v>Soham: Backend APIs – auth, slots, reservations, payments</v>
      </c>
    </row>
    <row r="15" spans="1:10" x14ac:dyDescent="0.35">
      <c r="A15" s="11">
        <v>10</v>
      </c>
      <c r="B15" s="11" t="s">
        <v>25</v>
      </c>
      <c r="C15" s="9" t="s">
        <v>4</v>
      </c>
      <c r="D15" s="13">
        <v>46259</v>
      </c>
      <c r="E15" s="13">
        <v>46263</v>
      </c>
      <c r="F15" s="11">
        <f t="shared" si="0"/>
        <v>5</v>
      </c>
      <c r="H15">
        <f t="shared" si="1"/>
        <v>21</v>
      </c>
      <c r="I15">
        <f t="shared" si="2"/>
        <v>5</v>
      </c>
      <c r="J15" t="str">
        <f t="shared" si="3"/>
        <v>Yuvraj: Admin functionalities &amp; API testing (Postman)</v>
      </c>
    </row>
    <row r="16" spans="1:10" x14ac:dyDescent="0.35">
      <c r="A16" s="8">
        <v>11</v>
      </c>
      <c r="B16" s="8" t="s">
        <v>26</v>
      </c>
      <c r="C16" s="12" t="s">
        <v>5</v>
      </c>
      <c r="D16" s="10">
        <v>46259</v>
      </c>
      <c r="E16" s="10">
        <v>46263</v>
      </c>
      <c r="F16" s="8">
        <f t="shared" si="0"/>
        <v>5</v>
      </c>
      <c r="H16">
        <f t="shared" si="1"/>
        <v>21</v>
      </c>
      <c r="I16">
        <f t="shared" si="2"/>
        <v>5</v>
      </c>
      <c r="J16" t="str">
        <f t="shared" si="3"/>
        <v>Tanishk: ER Diagram &amp; Swimlane Diagram (Draw.io)</v>
      </c>
    </row>
    <row r="17" spans="1:10" x14ac:dyDescent="0.35">
      <c r="A17" s="11">
        <v>12</v>
      </c>
      <c r="B17" s="11" t="s">
        <v>27</v>
      </c>
      <c r="C17" s="14" t="s">
        <v>6</v>
      </c>
      <c r="D17" s="13">
        <v>46259</v>
      </c>
      <c r="E17" s="13">
        <v>46263</v>
      </c>
      <c r="F17" s="11">
        <f t="shared" si="0"/>
        <v>5</v>
      </c>
      <c r="H17">
        <f t="shared" si="1"/>
        <v>21</v>
      </c>
      <c r="I17">
        <f t="shared" si="2"/>
        <v>5</v>
      </c>
      <c r="J17" t="str">
        <f t="shared" si="3"/>
        <v>Soham: API testing (Postman) &amp; Use Case Diagram update</v>
      </c>
    </row>
    <row r="18" spans="1:10" x14ac:dyDescent="0.35">
      <c r="A18" s="8">
        <v>13</v>
      </c>
      <c r="B18" s="8" t="s">
        <v>28</v>
      </c>
      <c r="C18" s="9" t="s">
        <v>4</v>
      </c>
      <c r="D18" s="10">
        <v>46266</v>
      </c>
      <c r="E18" s="10">
        <v>46268</v>
      </c>
      <c r="F18" s="8">
        <f t="shared" si="0"/>
        <v>3</v>
      </c>
      <c r="H18">
        <f t="shared" si="1"/>
        <v>28</v>
      </c>
      <c r="I18">
        <f t="shared" si="2"/>
        <v>3</v>
      </c>
      <c r="J18" t="str">
        <f t="shared" si="3"/>
        <v>Yuvraj: Use Case Diagram &amp; DFD creation</v>
      </c>
    </row>
    <row r="19" spans="1:10" x14ac:dyDescent="0.35">
      <c r="A19" s="11">
        <v>14</v>
      </c>
      <c r="B19" s="11" t="s">
        <v>29</v>
      </c>
      <c r="C19" s="12" t="s">
        <v>5</v>
      </c>
      <c r="D19" s="13">
        <v>46266</v>
      </c>
      <c r="E19" s="13">
        <v>46268</v>
      </c>
      <c r="F19" s="11">
        <f t="shared" si="0"/>
        <v>3</v>
      </c>
      <c r="H19">
        <f t="shared" si="1"/>
        <v>28</v>
      </c>
      <c r="I19">
        <f t="shared" si="2"/>
        <v>3</v>
      </c>
      <c r="J19" t="str">
        <f t="shared" si="3"/>
        <v>Tanishk: Frontend prototype refinement</v>
      </c>
    </row>
    <row r="20" spans="1:10" x14ac:dyDescent="0.35">
      <c r="A20" s="8">
        <v>15</v>
      </c>
      <c r="B20" s="8" t="s">
        <v>30</v>
      </c>
      <c r="C20" s="14" t="s">
        <v>6</v>
      </c>
      <c r="D20" s="10">
        <v>46266</v>
      </c>
      <c r="E20" s="10">
        <v>46268</v>
      </c>
      <c r="F20" s="8">
        <f t="shared" si="0"/>
        <v>3</v>
      </c>
      <c r="H20">
        <f t="shared" si="1"/>
        <v>28</v>
      </c>
      <c r="I20">
        <f t="shared" si="2"/>
        <v>3</v>
      </c>
      <c r="J20" t="str">
        <f t="shared" si="3"/>
        <v>Soham: DFD development</v>
      </c>
    </row>
    <row r="21" spans="1:10" x14ac:dyDescent="0.35">
      <c r="A21" s="11">
        <v>16</v>
      </c>
      <c r="B21" s="11" t="s">
        <v>31</v>
      </c>
      <c r="C21" s="9" t="s">
        <v>4</v>
      </c>
      <c r="D21" s="13">
        <v>46269</v>
      </c>
      <c r="E21" s="13">
        <v>46271</v>
      </c>
      <c r="F21" s="11">
        <f t="shared" si="0"/>
        <v>3</v>
      </c>
      <c r="H21">
        <f t="shared" si="1"/>
        <v>31</v>
      </c>
      <c r="I21">
        <f t="shared" si="2"/>
        <v>3</v>
      </c>
      <c r="J21" t="str">
        <f t="shared" si="3"/>
        <v>Yuvraj: Backend integration into prototype; PPT update</v>
      </c>
    </row>
    <row r="22" spans="1:10" x14ac:dyDescent="0.35">
      <c r="A22" s="8">
        <v>17</v>
      </c>
      <c r="B22" s="8" t="s">
        <v>32</v>
      </c>
      <c r="C22" s="12" t="s">
        <v>5</v>
      </c>
      <c r="D22" s="10">
        <v>46269</v>
      </c>
      <c r="E22" s="10">
        <v>46271</v>
      </c>
      <c r="F22" s="8">
        <f t="shared" si="0"/>
        <v>3</v>
      </c>
      <c r="H22">
        <f t="shared" si="1"/>
        <v>31</v>
      </c>
      <c r="I22">
        <f t="shared" si="2"/>
        <v>3</v>
      </c>
      <c r="J22" t="str">
        <f t="shared" si="3"/>
        <v>Tanishk: Diagram visuals for documentation/PPT</v>
      </c>
    </row>
    <row r="23" spans="1:10" x14ac:dyDescent="0.35">
      <c r="A23" s="11">
        <v>18</v>
      </c>
      <c r="B23" s="11" t="s">
        <v>33</v>
      </c>
      <c r="C23" s="14" t="s">
        <v>6</v>
      </c>
      <c r="D23" s="13">
        <v>46269</v>
      </c>
      <c r="E23" s="13">
        <v>46271</v>
      </c>
      <c r="F23" s="11">
        <f t="shared" si="0"/>
        <v>3</v>
      </c>
      <c r="H23">
        <f t="shared" si="1"/>
        <v>31</v>
      </c>
      <c r="I23">
        <f t="shared" si="2"/>
        <v>3</v>
      </c>
      <c r="J23" t="str">
        <f t="shared" si="3"/>
        <v>Soham: DFD &amp; Use Case Diagram review/refinement</v>
      </c>
    </row>
    <row r="24" spans="1:10" x14ac:dyDescent="0.35">
      <c r="A24" s="8">
        <v>19</v>
      </c>
      <c r="B24" s="8" t="s">
        <v>34</v>
      </c>
      <c r="C24" s="9" t="s">
        <v>4</v>
      </c>
      <c r="D24" s="10">
        <v>46272</v>
      </c>
      <c r="E24" s="10">
        <v>46273</v>
      </c>
      <c r="F24" s="8">
        <f t="shared" si="0"/>
        <v>2</v>
      </c>
      <c r="H24">
        <f t="shared" si="1"/>
        <v>34</v>
      </c>
      <c r="I24">
        <f t="shared" si="2"/>
        <v>2</v>
      </c>
      <c r="J24" t="str">
        <f t="shared" si="3"/>
        <v>Yuvraj: Prototype deployed on Vercel; final verification</v>
      </c>
    </row>
    <row r="25" spans="1:10" x14ac:dyDescent="0.35">
      <c r="A25" s="11">
        <v>20</v>
      </c>
      <c r="B25" s="11" t="s">
        <v>35</v>
      </c>
      <c r="C25" s="12" t="s">
        <v>5</v>
      </c>
      <c r="D25" s="13">
        <v>46272</v>
      </c>
      <c r="E25" s="13">
        <v>46273</v>
      </c>
      <c r="F25" s="11">
        <f t="shared" si="0"/>
        <v>2</v>
      </c>
      <c r="H25">
        <f t="shared" si="1"/>
        <v>34</v>
      </c>
      <c r="I25">
        <f t="shared" si="2"/>
        <v>2</v>
      </c>
      <c r="J25" t="str">
        <f t="shared" si="3"/>
        <v>Tanishk: Final review of frontend, diagrams &amp; docs</v>
      </c>
    </row>
    <row r="26" spans="1:10" x14ac:dyDescent="0.35">
      <c r="A26" s="8">
        <v>21</v>
      </c>
      <c r="B26" s="8" t="s">
        <v>36</v>
      </c>
      <c r="C26" s="14" t="s">
        <v>6</v>
      </c>
      <c r="D26" s="10">
        <v>46272</v>
      </c>
      <c r="E26" s="10">
        <v>46273</v>
      </c>
      <c r="F26" s="8">
        <f t="shared" si="0"/>
        <v>2</v>
      </c>
      <c r="H26">
        <f t="shared" si="1"/>
        <v>34</v>
      </c>
      <c r="I26">
        <f t="shared" si="2"/>
        <v>2</v>
      </c>
      <c r="J26" t="str">
        <f t="shared" si="3"/>
        <v>Soham: Final verification of backend &amp; diagrams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YUVRAJ BHARDWAJ</cp:lastModifiedBy>
  <cp:revision>1</cp:revision>
  <dcterms:created xsi:type="dcterms:W3CDTF">2026-09-14T20:29:17Z</dcterms:created>
  <dcterms:modified xsi:type="dcterms:W3CDTF">2026-09-14T20:33:33Z</dcterms:modified>
  <dc:language>en-US</dc:language>
</cp:coreProperties>
</file>